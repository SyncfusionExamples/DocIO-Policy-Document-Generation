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Blog\Insurance-Usecase\Policy-Document-Generation\Policy-Document-Generation\wwwroot\Data\"/>
    </mc:Choice>
  </mc:AlternateContent>
  <xr:revisionPtr revIDLastSave="0" documentId="13_ncr:1_{C2C43B51-3834-45B5-9AD8-B45763862C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olicyDetails" sheetId="1" r:id="rId1"/>
    <sheet name="Endorsemen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</calcChain>
</file>

<file path=xl/sharedStrings.xml><?xml version="1.0" encoding="utf-8"?>
<sst xmlns="http://schemas.openxmlformats.org/spreadsheetml/2006/main" count="118" uniqueCount="111">
  <si>
    <t>PolicyNumber</t>
  </si>
  <si>
    <t>PolicyType</t>
  </si>
  <si>
    <t>EffectiveDate</t>
  </si>
  <si>
    <t>ExpiryDate</t>
  </si>
  <si>
    <t>InsuredFirstName</t>
  </si>
  <si>
    <t>InsuredLastName</t>
  </si>
  <si>
    <t>InsuredPhone</t>
  </si>
  <si>
    <t>InsuredOccupation</t>
  </si>
  <si>
    <t>InsuredCity</t>
  </si>
  <si>
    <t>InsuredState</t>
  </si>
  <si>
    <t>InsuredZip</t>
  </si>
  <si>
    <t>ProductName</t>
  </si>
  <si>
    <t>PlanType</t>
  </si>
  <si>
    <t>CoveragePeriod</t>
  </si>
  <si>
    <t>PolicyJurisdiction</t>
  </si>
  <si>
    <t>BaseSumAssured</t>
  </si>
  <si>
    <t>BasePremium</t>
  </si>
  <si>
    <t>ADBAmount</t>
  </si>
  <si>
    <t>ADBPremium</t>
  </si>
  <si>
    <t>HasCI</t>
  </si>
  <si>
    <t>CIAmount</t>
  </si>
  <si>
    <t>CIPremium</t>
  </si>
  <si>
    <t>HasHospitalCash</t>
  </si>
  <si>
    <t>HCAmount</t>
  </si>
  <si>
    <t>HCPremium</t>
  </si>
  <si>
    <t>MaxHospitalCashDays</t>
  </si>
  <si>
    <t>HasSpecialConditions</t>
  </si>
  <si>
    <t>SpecialConditionsText</t>
  </si>
  <si>
    <t>OfficerName</t>
  </si>
  <si>
    <t>OfficerTitle</t>
  </si>
  <si>
    <t>IssueDate</t>
  </si>
  <si>
    <t>Individual</t>
  </si>
  <si>
    <t>Michael</t>
  </si>
  <si>
    <t>Brown</t>
  </si>
  <si>
    <t>Financial Analyst</t>
  </si>
  <si>
    <t>San Francisco</t>
  </si>
  <si>
    <t>CA</t>
  </si>
  <si>
    <t>Global Life Secure</t>
  </si>
  <si>
    <t>Platinum</t>
  </si>
  <si>
    <t>10 Years</t>
  </si>
  <si>
    <t>United States</t>
  </si>
  <si>
    <t>Chronic condition waiting period 18 months</t>
  </si>
  <si>
    <t>Sarah Collins</t>
  </si>
  <si>
    <t>Authorized Officer</t>
  </si>
  <si>
    <t>Family</t>
  </si>
  <si>
    <t>Emma</t>
  </si>
  <si>
    <t>Wilson</t>
  </si>
  <si>
    <t>Project Manager</t>
  </si>
  <si>
    <t>18 Baker Street</t>
  </si>
  <si>
    <t>London</t>
  </si>
  <si>
    <t>Greater London</t>
  </si>
  <si>
    <t>NW1 6XE</t>
  </si>
  <si>
    <t>International Health Plus</t>
  </si>
  <si>
    <t>Gold</t>
  </si>
  <si>
    <t>15 Years</t>
  </si>
  <si>
    <t>United Kingdom</t>
  </si>
  <si>
    <t>James Miller</t>
  </si>
  <si>
    <t>Regional Director</t>
  </si>
  <si>
    <t>Liam</t>
  </si>
  <si>
    <t>Taylor</t>
  </si>
  <si>
    <t>liam.taylor@company.au</t>
  </si>
  <si>
    <t>Civil Engineer</t>
  </si>
  <si>
    <t>Sydney</t>
  </si>
  <si>
    <t>NSW</t>
  </si>
  <si>
    <t>Life Shield Global</t>
  </si>
  <si>
    <t>Silver</t>
  </si>
  <si>
    <t>Australia</t>
  </si>
  <si>
    <t>Asthma covered after 12 months</t>
  </si>
  <si>
    <t>Olivia Grant</t>
  </si>
  <si>
    <t>Country Head</t>
  </si>
  <si>
    <t>EndorsementNumber</t>
  </si>
  <si>
    <t>EndorsementType</t>
  </si>
  <si>
    <t>EndorsementEffectiveDate</t>
  </si>
  <si>
    <t>EndorsementDescription</t>
  </si>
  <si>
    <t>EndorsementPremiumImpact</t>
  </si>
  <si>
    <t>END-US-01</t>
  </si>
  <si>
    <t>Rider Addition</t>
  </si>
  <si>
    <t>01-Mar-2026</t>
  </si>
  <si>
    <t>Critical Illness Rider</t>
  </si>
  <si>
    <t>+95</t>
  </si>
  <si>
    <t>END-US-02</t>
  </si>
  <si>
    <t>Coverage Increase</t>
  </si>
  <si>
    <t>01-Jun-2027</t>
  </si>
  <si>
    <t>Sum Assured Increased</t>
  </si>
  <si>
    <t>+200</t>
  </si>
  <si>
    <t>END-UK-01</t>
  </si>
  <si>
    <t>Rider Removal</t>
  </si>
  <si>
    <t>01-Jan-2028</t>
  </si>
  <si>
    <t>Hospital Cash Rider Removed</t>
  </si>
  <si>
    <t>-25</t>
  </si>
  <si>
    <t>END-AU-01</t>
  </si>
  <si>
    <t>Coverage Update</t>
  </si>
  <si>
    <t>01-May-2026</t>
  </si>
  <si>
    <t>Premium Adjustment</t>
  </si>
  <si>
    <t>+40</t>
  </si>
  <si>
    <t>InsuredFullName</t>
  </si>
  <si>
    <t>Michael Brown</t>
  </si>
  <si>
    <t>Emma Wilson</t>
  </si>
  <si>
    <t>Liam Taylor</t>
  </si>
  <si>
    <t>InsuredDOB</t>
  </si>
  <si>
    <t>18/09/1999</t>
  </si>
  <si>
    <t>HasADBS</t>
  </si>
  <si>
    <t>Email</t>
  </si>
  <si>
    <t>emma.wilson@company.au</t>
  </si>
  <si>
    <t>12 Evergreen Terrace</t>
  </si>
  <si>
    <t>InsuredFullAddress</t>
  </si>
  <si>
    <t>55 Harbour Road</t>
  </si>
  <si>
    <t>michael.brown@company.au</t>
  </si>
  <si>
    <t>POL001</t>
  </si>
  <si>
    <t>POL002</t>
  </si>
  <si>
    <t>POL003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</si>
</sst>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5" fontId="0" fillId="0" borderId="0" xfId="0" applyNumberFormat="1" applyAlignment="1">
      <alignment wrapText="1"/>
    </xf>
    <xf numFmtId="14" fontId="0" fillId="0" borderId="0" xfId="0" applyNumberFormat="1" applyAlignment="1">
      <alignment wrapText="1"/>
    </xf>
    <xf numFmtId="0" fontId="2" fillId="0" borderId="0" xfId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ichael.brown@company.au" TargetMode="External"/><Relationship Id="rId2" Type="http://schemas.openxmlformats.org/officeDocument/2006/relationships/hyperlink" Target="mailto:emma.wilson@company.au" TargetMode="External"/><Relationship Id="rId1" Type="http://schemas.openxmlformats.org/officeDocument/2006/relationships/hyperlink" Target="mailto:liam.taylor@company.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"/>
  <sheetViews>
    <sheetView workbookViewId="0">
      <selection activeCell="A4" sqref="A4"/>
    </sheetView>
  </sheetViews>
  <sheetFormatPr defaultRowHeight="14.4" x14ac:dyDescent="0.3"/>
  <cols>
    <col min="1" max="1" width="20.6640625" style="3" customWidth="1"/>
    <col min="2" max="3" width="13.33203125" style="3" customWidth="1"/>
    <col min="4" max="4" width="12.77734375" style="3" customWidth="1"/>
    <col min="5" max="7" width="17.44140625" style="3" customWidth="1"/>
    <col min="8" max="8" width="18.21875" style="3" customWidth="1"/>
    <col min="9" max="9" width="16" style="3" customWidth="1"/>
    <col min="10" max="11" width="8.88671875" style="3"/>
    <col min="12" max="12" width="19.21875" style="3" customWidth="1"/>
    <col min="13" max="35" width="8.88671875" style="3"/>
    <col min="36" max="36" width="11.44140625" style="3" customWidth="1"/>
    <col min="37" max="16384" width="8.88671875" style="3"/>
  </cols>
  <sheetData>
    <row r="1" spans="1:36" ht="43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95</v>
      </c>
      <c r="H1" s="2" t="s">
        <v>99</v>
      </c>
      <c r="I1" s="2" t="s">
        <v>102</v>
      </c>
      <c r="J1" s="2" t="s">
        <v>6</v>
      </c>
      <c r="K1" s="2" t="s">
        <v>7</v>
      </c>
      <c r="L1" s="2" t="s">
        <v>105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  <c r="V1" s="2" t="s">
        <v>101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</row>
    <row r="2" spans="1:36" ht="72" x14ac:dyDescent="0.3">
      <c r="A2" s="3" t="s">
        <v>108</v>
      </c>
      <c r="B2" s="3" t="s">
        <v>31</v>
      </c>
      <c r="C2" s="4">
        <v>46023</v>
      </c>
      <c r="D2" s="4">
        <v>49674</v>
      </c>
      <c r="E2" s="3" t="s">
        <v>32</v>
      </c>
      <c r="F2" s="3" t="s">
        <v>33</v>
      </c>
      <c r="G2" s="3" t="s">
        <v>96</v>
      </c>
      <c r="H2" s="5">
        <v>36842</v>
      </c>
      <c r="I2" s="6" t="s">
        <v>107</v>
      </c>
      <c r="J2" s="3">
        <f>1-415-555-9821</f>
        <v>-10790</v>
      </c>
      <c r="K2" s="3" t="s">
        <v>34</v>
      </c>
      <c r="L2" s="3" t="s">
        <v>104</v>
      </c>
      <c r="M2" s="3" t="s">
        <v>35</v>
      </c>
      <c r="N2" s="3" t="s">
        <v>36</v>
      </c>
      <c r="O2" s="3">
        <v>94105</v>
      </c>
      <c r="P2" s="3" t="s">
        <v>37</v>
      </c>
      <c r="Q2" s="3" t="s">
        <v>38</v>
      </c>
      <c r="R2" s="3" t="s">
        <v>39</v>
      </c>
      <c r="S2" s="3" t="s">
        <v>40</v>
      </c>
      <c r="T2" s="3">
        <v>1000000</v>
      </c>
      <c r="U2" s="3">
        <v>1200</v>
      </c>
      <c r="V2" s="3" t="b">
        <v>1</v>
      </c>
      <c r="W2" s="3">
        <v>200000</v>
      </c>
      <c r="X2" s="3">
        <v>150</v>
      </c>
      <c r="Y2" s="3" t="b">
        <v>1</v>
      </c>
      <c r="Z2" s="3">
        <v>100000</v>
      </c>
      <c r="AA2" s="3">
        <v>95</v>
      </c>
      <c r="AB2" s="3" t="b">
        <v>1</v>
      </c>
      <c r="AC2" s="3">
        <v>100</v>
      </c>
      <c r="AD2" s="3">
        <v>30</v>
      </c>
      <c r="AE2" s="3">
        <v>120</v>
      </c>
      <c r="AF2" s="3" t="b">
        <v>1</v>
      </c>
      <c r="AG2" s="3" t="s">
        <v>41</v>
      </c>
      <c r="AH2" s="3" t="s">
        <v>42</v>
      </c>
      <c r="AI2" s="3" t="s">
        <v>43</v>
      </c>
      <c r="AJ2" s="4">
        <v>46037</v>
      </c>
    </row>
    <row r="3" spans="1:36" ht="57.6" x14ac:dyDescent="0.3">
      <c r="A3" s="3" t="s">
        <v>109</v>
      </c>
      <c r="B3" s="3" t="s">
        <v>44</v>
      </c>
      <c r="C3" s="4">
        <v>46096</v>
      </c>
      <c r="D3" s="4">
        <v>51574</v>
      </c>
      <c r="E3" s="3" t="s">
        <v>45</v>
      </c>
      <c r="F3" s="3" t="s">
        <v>46</v>
      </c>
      <c r="G3" s="3" t="s">
        <v>97</v>
      </c>
      <c r="H3" s="5">
        <v>37174</v>
      </c>
      <c r="I3" s="6" t="s">
        <v>103</v>
      </c>
      <c r="J3" s="3">
        <f>44-20-7946-958</f>
        <v>-8880</v>
      </c>
      <c r="K3" s="3" t="s">
        <v>47</v>
      </c>
      <c r="L3" s="3" t="s">
        <v>48</v>
      </c>
      <c r="M3" s="3" t="s">
        <v>49</v>
      </c>
      <c r="N3" s="3" t="s">
        <v>50</v>
      </c>
      <c r="O3" s="3" t="s">
        <v>51</v>
      </c>
      <c r="P3" s="3" t="s">
        <v>52</v>
      </c>
      <c r="Q3" s="3" t="s">
        <v>53</v>
      </c>
      <c r="R3" s="3" t="s">
        <v>54</v>
      </c>
      <c r="S3" s="3" t="s">
        <v>55</v>
      </c>
      <c r="T3" s="3">
        <v>750000</v>
      </c>
      <c r="U3" s="3">
        <v>980</v>
      </c>
      <c r="V3" s="3" t="b">
        <v>1</v>
      </c>
      <c r="W3" s="3">
        <v>150000</v>
      </c>
      <c r="X3" s="3">
        <v>110</v>
      </c>
      <c r="Y3" s="3" t="b">
        <v>0</v>
      </c>
      <c r="Z3" s="3">
        <v>0</v>
      </c>
      <c r="AA3" s="3">
        <v>0</v>
      </c>
      <c r="AB3" s="3" t="b">
        <v>1</v>
      </c>
      <c r="AC3" s="3">
        <v>80</v>
      </c>
      <c r="AD3" s="3">
        <v>25</v>
      </c>
      <c r="AE3" s="3">
        <v>90</v>
      </c>
      <c r="AF3" s="3" t="b">
        <v>0</v>
      </c>
      <c r="AH3" s="3" t="s">
        <v>56</v>
      </c>
      <c r="AI3" s="3" t="s">
        <v>57</v>
      </c>
      <c r="AJ3" s="4">
        <v>46101</v>
      </c>
    </row>
    <row r="4" spans="1:36" ht="57.6" x14ac:dyDescent="0.3">
      <c r="A4" s="3" t="s">
        <v>110</v>
      </c>
      <c r="B4" s="3" t="s">
        <v>31</v>
      </c>
      <c r="C4" s="4">
        <v>46113</v>
      </c>
      <c r="D4" s="4">
        <v>49765</v>
      </c>
      <c r="E4" s="3" t="s">
        <v>58</v>
      </c>
      <c r="F4" s="3" t="s">
        <v>59</v>
      </c>
      <c r="G4" s="3" t="s">
        <v>98</v>
      </c>
      <c r="H4" s="3" t="s">
        <v>100</v>
      </c>
      <c r="I4" s="6" t="s">
        <v>60</v>
      </c>
      <c r="J4" s="3">
        <f>61-2-9374-4000</f>
        <v>-13315</v>
      </c>
      <c r="K4" s="3" t="s">
        <v>61</v>
      </c>
      <c r="L4" s="3" t="s">
        <v>106</v>
      </c>
      <c r="M4" s="3" t="s">
        <v>62</v>
      </c>
      <c r="N4" s="3" t="s">
        <v>63</v>
      </c>
      <c r="O4" s="3">
        <v>2000</v>
      </c>
      <c r="P4" s="3" t="s">
        <v>64</v>
      </c>
      <c r="Q4" s="3" t="s">
        <v>65</v>
      </c>
      <c r="R4" s="3" t="s">
        <v>39</v>
      </c>
      <c r="S4" s="3" t="s">
        <v>66</v>
      </c>
      <c r="T4" s="3">
        <v>600000</v>
      </c>
      <c r="U4" s="3">
        <v>760</v>
      </c>
      <c r="V4" s="3" t="b">
        <v>0</v>
      </c>
      <c r="W4" s="3">
        <v>0</v>
      </c>
      <c r="X4" s="3">
        <v>0</v>
      </c>
      <c r="Y4" s="3" t="b">
        <v>1</v>
      </c>
      <c r="Z4" s="3">
        <v>75000</v>
      </c>
      <c r="AA4" s="3">
        <v>70</v>
      </c>
      <c r="AB4" s="3" t="b">
        <v>0</v>
      </c>
      <c r="AC4" s="3">
        <v>0</v>
      </c>
      <c r="AD4" s="3">
        <v>0</v>
      </c>
      <c r="AE4" s="3">
        <v>0</v>
      </c>
      <c r="AF4" s="3" t="b">
        <v>1</v>
      </c>
      <c r="AG4" s="3" t="s">
        <v>67</v>
      </c>
      <c r="AH4" s="3" t="s">
        <v>68</v>
      </c>
      <c r="AI4" s="3" t="s">
        <v>69</v>
      </c>
      <c r="AJ4" s="4">
        <v>46117</v>
      </c>
    </row>
  </sheetData>
  <hyperlinks>
    <hyperlink ref="I4" r:id="rId1" xr:uid="{143F9B3B-7FA2-40D2-815D-DC374F90869D}"/>
    <hyperlink ref="I3" r:id="rId2" xr:uid="{ACF89F23-8CCF-4B20-AA2B-56C89674C2A9}"/>
    <hyperlink ref="I2" r:id="rId3" xr:uid="{62848935-DF13-4093-9A29-9C30B5464F6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"/>
  <sheetViews>
    <sheetView tabSelected="1" workbookViewId="0">
      <selection activeCell="B5" sqref="B5"/>
    </sheetView>
  </sheetViews>
  <sheetFormatPr defaultRowHeight="14.4" x14ac:dyDescent="0.3"/>
  <cols>
    <col min="1" max="1" width="24.44140625" customWidth="1"/>
    <col min="2" max="2" width="24.6640625" customWidth="1"/>
    <col min="3" max="3" width="21.44140625" customWidth="1"/>
    <col min="4" max="4" width="32.44140625" customWidth="1"/>
    <col min="5" max="5" width="25" customWidth="1"/>
    <col min="6" max="6" width="21" customWidth="1"/>
  </cols>
  <sheetData>
    <row r="1" spans="1:6" x14ac:dyDescent="0.3">
      <c r="A1" s="1" t="s">
        <v>70</v>
      </c>
      <c r="B1" s="1" t="s">
        <v>0</v>
      </c>
      <c r="C1" s="1" t="s">
        <v>71</v>
      </c>
      <c r="D1" s="1" t="s">
        <v>72</v>
      </c>
      <c r="E1" s="1" t="s">
        <v>73</v>
      </c>
      <c r="F1" s="1" t="s">
        <v>74</v>
      </c>
    </row>
    <row r="2" spans="1:6" x14ac:dyDescent="0.3">
      <c r="A2" t="s">
        <v>75</v>
      </c>
      <c r="B2" t="s">
        <v>108</v>
      </c>
      <c r="C2" t="s">
        <v>76</v>
      </c>
      <c r="D2" t="s">
        <v>77</v>
      </c>
      <c r="E2" t="s">
        <v>78</v>
      </c>
      <c r="F2" t="s">
        <v>79</v>
      </c>
    </row>
    <row r="3" spans="1:6" x14ac:dyDescent="0.3">
      <c r="A3" t="s">
        <v>80</v>
      </c>
      <c r="B3" t="s">
        <v>108</v>
      </c>
      <c r="C3" t="s">
        <v>81</v>
      </c>
      <c r="D3" t="s">
        <v>82</v>
      </c>
      <c r="E3" t="s">
        <v>83</v>
      </c>
      <c r="F3" t="s">
        <v>84</v>
      </c>
    </row>
    <row r="4" spans="1:6" x14ac:dyDescent="0.3">
      <c r="A4" t="s">
        <v>85</v>
      </c>
      <c r="B4" t="s">
        <v>109</v>
      </c>
      <c r="C4" t="s">
        <v>86</v>
      </c>
      <c r="D4" t="s">
        <v>87</v>
      </c>
      <c r="E4" t="s">
        <v>88</v>
      </c>
      <c r="F4" t="s">
        <v>89</v>
      </c>
    </row>
    <row r="5" spans="1:6" x14ac:dyDescent="0.3">
      <c r="A5" t="s">
        <v>90</v>
      </c>
      <c r="B5" t="s">
        <v>110</v>
      </c>
      <c r="C5" t="s">
        <v>91</v>
      </c>
      <c r="D5" t="s">
        <v>92</v>
      </c>
      <c r="E5" t="s">
        <v>93</v>
      </c>
      <c r="F5" t="s">
        <v>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PolicyDetails</vt:lpstr>
      <vt:lpstr>Endorsements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Kathiresan  Paranthaman</cp:lastModifiedBy>
  <dcterms:created xsi:type="dcterms:W3CDTF">2026-04-28T08:07:25Z</dcterms:created>
  <dcterms:modified xsi:type="dcterms:W3CDTF">2026-05-15T10:05:59Z</dcterms:modified>
</cp:coreProperties>
</file>