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Blog\Insurance\Policy-Document-Generation\Policy-Document-Generation\wwwroot\Data\"/>
    </mc:Choice>
  </mc:AlternateContent>
  <xr:revisionPtr revIDLastSave="0" documentId="13_ncr:1_{CE83C25A-05A6-4230-AE6A-9AFB9EC785E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olicyDetails" sheetId="1" r:id="rId1"/>
    <sheet name="Endorsements" sheetId="2" r:id="rId2"/>
    <sheet name="ClaimLetter" sheetId="3" r:id="rId3"/>
    <sheet name="aa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</calcChain>
</file>

<file path=xl/sharedStrings.xml><?xml version="1.0" encoding="utf-8"?>
<sst xmlns="http://schemas.openxmlformats.org/spreadsheetml/2006/main" count="257" uniqueCount="184">
  <si>
    <t>PolicyNumber</t>
  </si>
  <si>
    <t>PolicyType</t>
  </si>
  <si>
    <t>EffectiveDate</t>
  </si>
  <si>
    <t>ExpiryDate</t>
  </si>
  <si>
    <t>InsuredFirstName</t>
  </si>
  <si>
    <t>InsuredLastName</t>
  </si>
  <si>
    <t>InsuredPhone</t>
  </si>
  <si>
    <t>InsuredOccupation</t>
  </si>
  <si>
    <t>InsuredCity</t>
  </si>
  <si>
    <t>InsuredState</t>
  </si>
  <si>
    <t>InsuredZip</t>
  </si>
  <si>
    <t>ProductName</t>
  </si>
  <si>
    <t>PlanType</t>
  </si>
  <si>
    <t>CoveragePeriod</t>
  </si>
  <si>
    <t>PolicyJurisdiction</t>
  </si>
  <si>
    <t>BaseSumAssured</t>
  </si>
  <si>
    <t>BasePremium</t>
  </si>
  <si>
    <t>ADBAmount</t>
  </si>
  <si>
    <t>ADBPremium</t>
  </si>
  <si>
    <t>HasCI</t>
  </si>
  <si>
    <t>CIAmount</t>
  </si>
  <si>
    <t>CIPremium</t>
  </si>
  <si>
    <t>HasHospitalCash</t>
  </si>
  <si>
    <t>HCAmount</t>
  </si>
  <si>
    <t>HCPremium</t>
  </si>
  <si>
    <t>MaxHospitalCashDays</t>
  </si>
  <si>
    <t>HasSpecialConditions</t>
  </si>
  <si>
    <t>SpecialConditionsText</t>
  </si>
  <si>
    <t>OfficerName</t>
  </si>
  <si>
    <t>OfficerTitle</t>
  </si>
  <si>
    <t>IssueDate</t>
  </si>
  <si>
    <t>US-POL-1001</t>
  </si>
  <si>
    <t>Individual</t>
  </si>
  <si>
    <t>Michael</t>
  </si>
  <si>
    <t>Brown</t>
  </si>
  <si>
    <t>Financial Analyst</t>
  </si>
  <si>
    <t>San Francisco</t>
  </si>
  <si>
    <t>CA</t>
  </si>
  <si>
    <t>Global Life Secure</t>
  </si>
  <si>
    <t>Platinum</t>
  </si>
  <si>
    <t>10 Years</t>
  </si>
  <si>
    <t>United States</t>
  </si>
  <si>
    <t>Chronic condition waiting period 18 months</t>
  </si>
  <si>
    <t>Sarah Collins</t>
  </si>
  <si>
    <t>Authorized Officer</t>
  </si>
  <si>
    <t>UK-POL-2001</t>
  </si>
  <si>
    <t>Family</t>
  </si>
  <si>
    <t>Emma</t>
  </si>
  <si>
    <t>Wilson</t>
  </si>
  <si>
    <t>Project Manager</t>
  </si>
  <si>
    <t>18 Baker Street</t>
  </si>
  <si>
    <t>London</t>
  </si>
  <si>
    <t>Greater London</t>
  </si>
  <si>
    <t>NW1 6XE</t>
  </si>
  <si>
    <t>International Health Plus</t>
  </si>
  <si>
    <t>Gold</t>
  </si>
  <si>
    <t>15 Years</t>
  </si>
  <si>
    <t>United Kingdom</t>
  </si>
  <si>
    <t>James Miller</t>
  </si>
  <si>
    <t>Regional Director</t>
  </si>
  <si>
    <t>AU-POL-3001</t>
  </si>
  <si>
    <t>Liam</t>
  </si>
  <si>
    <t>Taylor</t>
  </si>
  <si>
    <t>liam.taylor@company.au</t>
  </si>
  <si>
    <t>Civil Engineer</t>
  </si>
  <si>
    <t>Sydney</t>
  </si>
  <si>
    <t>NSW</t>
  </si>
  <si>
    <t>Life Shield Global</t>
  </si>
  <si>
    <t>Silver</t>
  </si>
  <si>
    <t>Australia</t>
  </si>
  <si>
    <t>Asthma covered after 12 months</t>
  </si>
  <si>
    <t>Olivia Grant</t>
  </si>
  <si>
    <t>Country Head</t>
  </si>
  <si>
    <t>EndorsementNumber</t>
  </si>
  <si>
    <t>EndorsementType</t>
  </si>
  <si>
    <t>EndorsementEffectiveDate</t>
  </si>
  <si>
    <t>EndorsementDescription</t>
  </si>
  <si>
    <t>EndorsementPremiumImpact</t>
  </si>
  <si>
    <t>END-US-01</t>
  </si>
  <si>
    <t>Rider Addition</t>
  </si>
  <si>
    <t>01-Mar-2026</t>
  </si>
  <si>
    <t>Critical Illness Rider</t>
  </si>
  <si>
    <t>+95</t>
  </si>
  <si>
    <t>END-US-02</t>
  </si>
  <si>
    <t>Coverage Increase</t>
  </si>
  <si>
    <t>01-Jun-2027</t>
  </si>
  <si>
    <t>Sum Assured Increased</t>
  </si>
  <si>
    <t>+200</t>
  </si>
  <si>
    <t>END-UK-01</t>
  </si>
  <si>
    <t>Rider Removal</t>
  </si>
  <si>
    <t>01-Jan-2028</t>
  </si>
  <si>
    <t>Hospital Cash Rider Removed</t>
  </si>
  <si>
    <t>-25</t>
  </si>
  <si>
    <t>END-AU-01</t>
  </si>
  <si>
    <t>Coverage Update</t>
  </si>
  <si>
    <t>01-May-2026</t>
  </si>
  <si>
    <t>Premium Adjustment</t>
  </si>
  <si>
    <t>+40</t>
  </si>
  <si>
    <t>InsuredFullName</t>
  </si>
  <si>
    <t>Michael Brown</t>
  </si>
  <si>
    <t>Emma Wilson</t>
  </si>
  <si>
    <t>Liam Taylor</t>
  </si>
  <si>
    <t>InsuredDOB</t>
  </si>
  <si>
    <t>18/09/1999</t>
  </si>
  <si>
    <t>HasADBS</t>
  </si>
  <si>
    <t>Email</t>
  </si>
  <si>
    <t>emma.wilson@company.au</t>
  </si>
  <si>
    <t>12 Evergreen Terrace</t>
  </si>
  <si>
    <t>InsuredFullAddress</t>
  </si>
  <si>
    <t>55 Harbour Road</t>
  </si>
  <si>
    <t>michael.brown@company.au</t>
  </si>
  <si>
    <t>ClaimDate</t>
  </si>
  <si>
    <t>DateOfLoss</t>
  </si>
  <si>
    <t>ClaimType</t>
  </si>
  <si>
    <t>ClaimAmount</t>
  </si>
  <si>
    <t>ClaimStatus</t>
  </si>
  <si>
    <t>NextSteps</t>
  </si>
  <si>
    <t>AdjusterName</t>
  </si>
  <si>
    <t>AdjusterPhone</t>
  </si>
  <si>
    <t>AdjusterEmail</t>
  </si>
  <si>
    <t>94105</t>
  </si>
  <si>
    <t>05-Jan-2026</t>
  </si>
  <si>
    <t>03-Jan-2026</t>
  </si>
  <si>
    <t>Accidental Damage</t>
  </si>
  <si>
    <t>25000</t>
  </si>
  <si>
    <t>Under Review</t>
  </si>
  <si>
    <t>Provide repair estimates and photographs</t>
  </si>
  <si>
    <t>Laura Simmons</t>
  </si>
  <si>
    <t>+1-415-555-7744</t>
  </si>
  <si>
    <t>laura.simmons@insurance.com</t>
  </si>
  <si>
    <t>15-Mar-2026</t>
  </si>
  <si>
    <t>12-Mar-2026</t>
  </si>
  <si>
    <t>Medical Reimbursement</t>
  </si>
  <si>
    <t>4800</t>
  </si>
  <si>
    <t>Approved</t>
  </si>
  <si>
    <t>Settlement will be credited to your account</t>
  </si>
  <si>
    <t>Daniel Wright</t>
  </si>
  <si>
    <t>+44-20-7946-5521</t>
  </si>
  <si>
    <t>daniel.wright@insurance.co.uk</t>
  </si>
  <si>
    <t>2000</t>
  </si>
  <si>
    <t>28-Mar-2026</t>
  </si>
  <si>
    <t>27-Mar-2026</t>
  </si>
  <si>
    <t>Hospitalization</t>
  </si>
  <si>
    <t>8200</t>
  </si>
  <si>
    <t>In Progress</t>
  </si>
  <si>
    <t>Medical reports verification in progress</t>
  </si>
  <si>
    <t>Emily Harper</t>
  </si>
  <si>
    <t>+61-2-9374-8899</t>
  </si>
  <si>
    <t>emily.harper@insurance.au</t>
  </si>
  <si>
    <t>ClaimLetterID</t>
  </si>
  <si>
    <t>ClaimNumber</t>
  </si>
  <si>
    <t>InsuredAddress</t>
  </si>
  <si>
    <t>CL-001</t>
  </si>
  <si>
    <t>10-Jan-2026</t>
  </si>
  <si>
    <t>CLM-US-90001</t>
  </si>
  <si>
    <t>742 Evergreen Terrace</t>
  </si>
  <si>
    <t>CL-002</t>
  </si>
  <si>
    <t>22-Mar-2026</t>
  </si>
  <si>
    <t>CLM-UK-78211</t>
  </si>
  <si>
    <t>CL-003</t>
  </si>
  <si>
    <t>04-Apr-2026</t>
  </si>
  <si>
    <t>CLM-AU-55421</t>
  </si>
  <si>
    <t>CoverageChanges</t>
  </si>
  <si>
    <t>PreviousPremium</t>
  </si>
  <si>
    <t>PremiumAdjustment</t>
  </si>
  <si>
    <t>NewPremium</t>
  </si>
  <si>
    <t>END-US-1001</t>
  </si>
  <si>
    <t>15-Feb-2026</t>
  </si>
  <si>
    <t>742 Evergreen Terrace, San Francisco, CA 94105</t>
  </si>
  <si>
    <t>Coverage Enhancement</t>
  </si>
  <si>
    <t>Critical Illness coverage added to the base policy</t>
  </si>
  <si>
    <t>Critical Illness Rider added with higher sum assured</t>
  </si>
  <si>
    <t>END-UK-2001</t>
  </si>
  <si>
    <t>10-Jun-2026</t>
  </si>
  <si>
    <t>02-Jun-2026</t>
  </si>
  <si>
    <t>18 Baker Street, London, NW1 6XE</t>
  </si>
  <si>
    <t>Hospital cash benefit limit increased</t>
  </si>
  <si>
    <t>Hospital Cash daily limit increased</t>
  </si>
  <si>
    <t>END-AU-3001</t>
  </si>
  <si>
    <t>20-Apr-2026</t>
  </si>
  <si>
    <t>12-Apr-2026</t>
  </si>
  <si>
    <t>55 Harbour Road, Sydney, NSW 2000</t>
  </si>
  <si>
    <t>Premium revised due to risk reassessment</t>
  </si>
  <si>
    <t>No change in coverage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</si>
</sst>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2" fillId="0" borderId="0" xfId="1" applyAlignment="1">
      <alignment wrapText="1"/>
    </xf>
    <xf numFmtId="0" fontId="3" fillId="0" borderId="1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chael.brown@company.au" TargetMode="External"/><Relationship Id="rId2" Type="http://schemas.openxmlformats.org/officeDocument/2006/relationships/hyperlink" Target="mailto:emma.wilson@company.au" TargetMode="External"/><Relationship Id="rId1" Type="http://schemas.openxmlformats.org/officeDocument/2006/relationships/hyperlink" Target="mailto:liam.taylor@company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"/>
  <sheetViews>
    <sheetView workbookViewId="0">
      <selection activeCell="AJ3" sqref="AJ3"/>
    </sheetView>
  </sheetViews>
  <sheetFormatPr defaultRowHeight="14.4" x14ac:dyDescent="0.3"/>
  <cols>
    <col min="1" max="1" width="20.6640625" style="3" customWidth="1"/>
    <col min="2" max="3" width="13.33203125" style="3" customWidth="1"/>
    <col min="4" max="4" width="12.77734375" style="3" customWidth="1"/>
    <col min="5" max="7" width="17.44140625" style="3" customWidth="1"/>
    <col min="8" max="8" width="18.21875" style="3" customWidth="1"/>
    <col min="9" max="9" width="16" style="3" customWidth="1"/>
    <col min="10" max="11" width="8.88671875" style="3"/>
    <col min="12" max="12" width="19.21875" style="3" customWidth="1"/>
    <col min="13" max="35" width="8.88671875" style="3"/>
    <col min="36" max="36" width="11.44140625" style="3" customWidth="1"/>
    <col min="37" max="16384" width="8.88671875" style="3"/>
  </cols>
  <sheetData>
    <row r="1" spans="1:36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98</v>
      </c>
      <c r="H1" s="2" t="s">
        <v>102</v>
      </c>
      <c r="I1" s="2" t="s">
        <v>105</v>
      </c>
      <c r="J1" s="2" t="s">
        <v>6</v>
      </c>
      <c r="K1" s="2" t="s">
        <v>7</v>
      </c>
      <c r="L1" s="2" t="s">
        <v>108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104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</row>
    <row r="2" spans="1:36" ht="72" x14ac:dyDescent="0.3">
      <c r="A2" s="3" t="s">
        <v>31</v>
      </c>
      <c r="B2" s="3" t="s">
        <v>32</v>
      </c>
      <c r="C2" s="4">
        <v>46023</v>
      </c>
      <c r="D2" s="4">
        <v>49674</v>
      </c>
      <c r="E2" s="3" t="s">
        <v>33</v>
      </c>
      <c r="F2" s="3" t="s">
        <v>34</v>
      </c>
      <c r="G2" s="3" t="s">
        <v>99</v>
      </c>
      <c r="H2" s="5">
        <v>36842</v>
      </c>
      <c r="I2" s="6" t="s">
        <v>110</v>
      </c>
      <c r="J2" s="3">
        <f>1-415-555-9821</f>
        <v>-10790</v>
      </c>
      <c r="K2" s="3" t="s">
        <v>35</v>
      </c>
      <c r="L2" s="3" t="s">
        <v>107</v>
      </c>
      <c r="M2" s="3" t="s">
        <v>36</v>
      </c>
      <c r="N2" s="3" t="s">
        <v>37</v>
      </c>
      <c r="O2" s="3">
        <v>94105</v>
      </c>
      <c r="P2" s="3" t="s">
        <v>38</v>
      </c>
      <c r="Q2" s="3" t="s">
        <v>39</v>
      </c>
      <c r="R2" s="3" t="s">
        <v>40</v>
      </c>
      <c r="S2" s="3" t="s">
        <v>41</v>
      </c>
      <c r="T2" s="3">
        <v>1000000</v>
      </c>
      <c r="U2" s="3">
        <v>1200</v>
      </c>
      <c r="V2" s="3" t="b">
        <v>1</v>
      </c>
      <c r="W2" s="3">
        <v>200000</v>
      </c>
      <c r="X2" s="3">
        <v>150</v>
      </c>
      <c r="Y2" s="3" t="b">
        <v>1</v>
      </c>
      <c r="Z2" s="3">
        <v>100000</v>
      </c>
      <c r="AA2" s="3">
        <v>95</v>
      </c>
      <c r="AB2" s="3" t="b">
        <v>1</v>
      </c>
      <c r="AC2" s="3">
        <v>100</v>
      </c>
      <c r="AD2" s="3">
        <v>30</v>
      </c>
      <c r="AE2" s="3">
        <v>120</v>
      </c>
      <c r="AF2" s="3" t="b">
        <v>1</v>
      </c>
      <c r="AG2" s="3" t="s">
        <v>42</v>
      </c>
      <c r="AH2" s="3" t="s">
        <v>43</v>
      </c>
      <c r="AI2" s="3" t="s">
        <v>44</v>
      </c>
      <c r="AJ2" s="4">
        <v>46037</v>
      </c>
    </row>
    <row r="3" spans="1:36" ht="57.6" x14ac:dyDescent="0.3">
      <c r="A3" s="3" t="s">
        <v>45</v>
      </c>
      <c r="B3" s="3" t="s">
        <v>46</v>
      </c>
      <c r="C3" s="4">
        <v>46096</v>
      </c>
      <c r="D3" s="4">
        <v>51574</v>
      </c>
      <c r="E3" s="3" t="s">
        <v>47</v>
      </c>
      <c r="F3" s="3" t="s">
        <v>48</v>
      </c>
      <c r="G3" s="3" t="s">
        <v>100</v>
      </c>
      <c r="H3" s="5">
        <v>37174</v>
      </c>
      <c r="I3" s="6" t="s">
        <v>106</v>
      </c>
      <c r="J3" s="3">
        <f>44-20-7946-958</f>
        <v>-8880</v>
      </c>
      <c r="K3" s="3" t="s">
        <v>49</v>
      </c>
      <c r="L3" s="3" t="s">
        <v>50</v>
      </c>
      <c r="M3" s="3" t="s">
        <v>51</v>
      </c>
      <c r="N3" s="3" t="s">
        <v>52</v>
      </c>
      <c r="O3" s="3" t="s">
        <v>53</v>
      </c>
      <c r="P3" s="3" t="s">
        <v>54</v>
      </c>
      <c r="Q3" s="3" t="s">
        <v>55</v>
      </c>
      <c r="R3" s="3" t="s">
        <v>56</v>
      </c>
      <c r="S3" s="3" t="s">
        <v>57</v>
      </c>
      <c r="T3" s="3">
        <v>750000</v>
      </c>
      <c r="U3" s="3">
        <v>980</v>
      </c>
      <c r="V3" s="3" t="b">
        <v>1</v>
      </c>
      <c r="W3" s="3">
        <v>150000</v>
      </c>
      <c r="X3" s="3">
        <v>110</v>
      </c>
      <c r="Y3" s="3" t="b">
        <v>0</v>
      </c>
      <c r="Z3" s="3">
        <v>0</v>
      </c>
      <c r="AA3" s="3">
        <v>0</v>
      </c>
      <c r="AB3" s="3" t="b">
        <v>1</v>
      </c>
      <c r="AC3" s="3">
        <v>80</v>
      </c>
      <c r="AD3" s="3">
        <v>25</v>
      </c>
      <c r="AE3" s="3">
        <v>90</v>
      </c>
      <c r="AF3" s="3" t="b">
        <v>0</v>
      </c>
      <c r="AH3" s="3" t="s">
        <v>58</v>
      </c>
      <c r="AI3" s="3" t="s">
        <v>59</v>
      </c>
      <c r="AJ3" s="4">
        <v>46101</v>
      </c>
    </row>
    <row r="4" spans="1:36" ht="57.6" x14ac:dyDescent="0.3">
      <c r="A4" s="3" t="s">
        <v>60</v>
      </c>
      <c r="B4" s="3" t="s">
        <v>32</v>
      </c>
      <c r="C4" s="4">
        <v>46113</v>
      </c>
      <c r="D4" s="4">
        <v>49765</v>
      </c>
      <c r="E4" s="3" t="s">
        <v>61</v>
      </c>
      <c r="F4" s="3" t="s">
        <v>62</v>
      </c>
      <c r="G4" s="3" t="s">
        <v>101</v>
      </c>
      <c r="H4" s="3" t="s">
        <v>103</v>
      </c>
      <c r="I4" s="6" t="s">
        <v>63</v>
      </c>
      <c r="J4" s="3">
        <f>61-2-9374-4000</f>
        <v>-13315</v>
      </c>
      <c r="K4" s="3" t="s">
        <v>64</v>
      </c>
      <c r="L4" s="3" t="s">
        <v>109</v>
      </c>
      <c r="M4" s="3" t="s">
        <v>65</v>
      </c>
      <c r="N4" s="3" t="s">
        <v>66</v>
      </c>
      <c r="O4" s="3">
        <v>2000</v>
      </c>
      <c r="P4" s="3" t="s">
        <v>67</v>
      </c>
      <c r="Q4" s="3" t="s">
        <v>68</v>
      </c>
      <c r="R4" s="3" t="s">
        <v>40</v>
      </c>
      <c r="S4" s="3" t="s">
        <v>69</v>
      </c>
      <c r="T4" s="3">
        <v>600000</v>
      </c>
      <c r="U4" s="3">
        <v>760</v>
      </c>
      <c r="V4" s="3" t="b">
        <v>0</v>
      </c>
      <c r="W4" s="3">
        <v>0</v>
      </c>
      <c r="X4" s="3">
        <v>0</v>
      </c>
      <c r="Y4" s="3" t="b">
        <v>1</v>
      </c>
      <c r="Z4" s="3">
        <v>75000</v>
      </c>
      <c r="AA4" s="3">
        <v>70</v>
      </c>
      <c r="AB4" s="3" t="b">
        <v>0</v>
      </c>
      <c r="AC4" s="3">
        <v>0</v>
      </c>
      <c r="AD4" s="3">
        <v>0</v>
      </c>
      <c r="AE4" s="3">
        <v>0</v>
      </c>
      <c r="AF4" s="3" t="b">
        <v>1</v>
      </c>
      <c r="AG4" s="3" t="s">
        <v>70</v>
      </c>
      <c r="AH4" s="3" t="s">
        <v>71</v>
      </c>
      <c r="AI4" s="3" t="s">
        <v>72</v>
      </c>
      <c r="AJ4" s="4">
        <v>46117</v>
      </c>
    </row>
  </sheetData>
  <hyperlinks>
    <hyperlink ref="I4" r:id="rId1" xr:uid="{143F9B3B-7FA2-40D2-815D-DC374F90869D}"/>
    <hyperlink ref="I3" r:id="rId2" xr:uid="{ACF89F23-8CCF-4B20-AA2B-56C89674C2A9}"/>
    <hyperlink ref="I2" r:id="rId3" xr:uid="{62848935-DF13-4093-9A29-9C30B5464F6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D15" sqref="D15"/>
    </sheetView>
  </sheetViews>
  <sheetFormatPr defaultRowHeight="14.4" x14ac:dyDescent="0.3"/>
  <cols>
    <col min="1" max="1" width="24.44140625" customWidth="1"/>
    <col min="2" max="2" width="24.6640625" customWidth="1"/>
    <col min="3" max="3" width="21.44140625" customWidth="1"/>
    <col min="4" max="4" width="32.44140625" customWidth="1"/>
    <col min="5" max="5" width="25" customWidth="1"/>
    <col min="6" max="6" width="21" customWidth="1"/>
  </cols>
  <sheetData>
    <row r="1" spans="1:6" x14ac:dyDescent="0.3">
      <c r="A1" s="1" t="s">
        <v>73</v>
      </c>
      <c r="B1" s="1" t="s">
        <v>0</v>
      </c>
      <c r="C1" s="1" t="s">
        <v>74</v>
      </c>
      <c r="D1" s="1" t="s">
        <v>75</v>
      </c>
      <c r="E1" s="1" t="s">
        <v>76</v>
      </c>
      <c r="F1" s="1" t="s">
        <v>77</v>
      </c>
    </row>
    <row r="2" spans="1:6" x14ac:dyDescent="0.3">
      <c r="A2" t="s">
        <v>78</v>
      </c>
      <c r="B2" t="s">
        <v>31</v>
      </c>
      <c r="C2" t="s">
        <v>79</v>
      </c>
      <c r="D2" t="s">
        <v>80</v>
      </c>
      <c r="E2" t="s">
        <v>81</v>
      </c>
      <c r="F2" t="s">
        <v>82</v>
      </c>
    </row>
    <row r="3" spans="1:6" x14ac:dyDescent="0.3">
      <c r="A3" t="s">
        <v>83</v>
      </c>
      <c r="B3" t="s">
        <v>31</v>
      </c>
      <c r="C3" t="s">
        <v>84</v>
      </c>
      <c r="D3" t="s">
        <v>85</v>
      </c>
      <c r="E3" t="s">
        <v>86</v>
      </c>
      <c r="F3" t="s">
        <v>87</v>
      </c>
    </row>
    <row r="4" spans="1:6" x14ac:dyDescent="0.3">
      <c r="A4" t="s">
        <v>88</v>
      </c>
      <c r="B4" t="s">
        <v>45</v>
      </c>
      <c r="C4" t="s">
        <v>89</v>
      </c>
      <c r="D4" t="s">
        <v>90</v>
      </c>
      <c r="E4" t="s">
        <v>91</v>
      </c>
      <c r="F4" t="s">
        <v>92</v>
      </c>
    </row>
    <row r="5" spans="1:6" x14ac:dyDescent="0.3">
      <c r="A5" t="s">
        <v>93</v>
      </c>
      <c r="B5" t="s">
        <v>60</v>
      </c>
      <c r="C5" t="s">
        <v>94</v>
      </c>
      <c r="D5" t="s">
        <v>95</v>
      </c>
      <c r="E5" t="s">
        <v>96</v>
      </c>
      <c r="F5" t="s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9AA0-8D7E-417F-A657-02C3D49773E6}">
  <dimension ref="A1:U4"/>
  <sheetViews>
    <sheetView topLeftCell="G1" workbookViewId="0">
      <selection activeCell="N10" sqref="N10"/>
    </sheetView>
  </sheetViews>
  <sheetFormatPr defaultRowHeight="14.4" x14ac:dyDescent="0.3"/>
  <cols>
    <col min="1" max="1" width="14.77734375" customWidth="1"/>
    <col min="2" max="2" width="15.33203125" customWidth="1"/>
    <col min="3" max="3" width="16.77734375" customWidth="1"/>
    <col min="4" max="4" width="12.88671875" bestFit="1" customWidth="1"/>
    <col min="5" max="5" width="19.109375" customWidth="1"/>
    <col min="6" max="6" width="16.44140625" customWidth="1"/>
    <col min="7" max="7" width="17.21875" customWidth="1"/>
    <col min="8" max="8" width="12.88671875" customWidth="1"/>
    <col min="9" max="9" width="14.21875" customWidth="1"/>
    <col min="10" max="10" width="11.6640625" customWidth="1"/>
    <col min="11" max="11" width="13.44140625" customWidth="1"/>
    <col min="12" max="12" width="17" customWidth="1"/>
    <col min="13" max="13" width="15.77734375" customWidth="1"/>
    <col min="14" max="14" width="16.33203125" customWidth="1"/>
    <col min="15" max="15" width="12.33203125" customWidth="1"/>
    <col min="16" max="16" width="11.109375" customWidth="1"/>
    <col min="17" max="17" width="12.88671875" customWidth="1"/>
    <col min="18" max="18" width="16.109375" customWidth="1"/>
    <col min="19" max="19" width="14.109375" customWidth="1"/>
    <col min="20" max="20" width="15.88671875" customWidth="1"/>
    <col min="21" max="21" width="10.77734375" customWidth="1"/>
  </cols>
  <sheetData>
    <row r="1" spans="1:21" ht="28.8" x14ac:dyDescent="0.3">
      <c r="A1" s="7" t="s">
        <v>149</v>
      </c>
      <c r="B1" s="7" t="s">
        <v>30</v>
      </c>
      <c r="C1" s="7" t="s">
        <v>150</v>
      </c>
      <c r="D1" s="7" t="s">
        <v>0</v>
      </c>
      <c r="E1" s="7" t="s">
        <v>4</v>
      </c>
      <c r="F1" s="7" t="s">
        <v>5</v>
      </c>
      <c r="G1" s="7" t="s">
        <v>151</v>
      </c>
      <c r="H1" s="7" t="s">
        <v>8</v>
      </c>
      <c r="I1" s="7" t="s">
        <v>9</v>
      </c>
      <c r="J1" s="7" t="s">
        <v>10</v>
      </c>
      <c r="K1" s="7" t="s">
        <v>111</v>
      </c>
      <c r="L1" s="7" t="s">
        <v>112</v>
      </c>
      <c r="M1" s="7" t="s">
        <v>113</v>
      </c>
      <c r="N1" s="7" t="s">
        <v>114</v>
      </c>
      <c r="O1" s="7" t="s">
        <v>115</v>
      </c>
      <c r="P1" s="7" t="s">
        <v>116</v>
      </c>
      <c r="Q1" s="7" t="s">
        <v>117</v>
      </c>
      <c r="R1" s="7" t="s">
        <v>118</v>
      </c>
      <c r="S1" s="7" t="s">
        <v>119</v>
      </c>
      <c r="T1" s="7" t="s">
        <v>28</v>
      </c>
      <c r="U1" s="7" t="s">
        <v>29</v>
      </c>
    </row>
    <row r="2" spans="1:21" ht="86.4" x14ac:dyDescent="0.3">
      <c r="A2" s="3" t="s">
        <v>152</v>
      </c>
      <c r="B2" s="3" t="s">
        <v>153</v>
      </c>
      <c r="C2" s="3" t="s">
        <v>154</v>
      </c>
      <c r="D2" s="3" t="s">
        <v>31</v>
      </c>
      <c r="E2" s="3" t="s">
        <v>33</v>
      </c>
      <c r="F2" s="3" t="s">
        <v>34</v>
      </c>
      <c r="G2" s="3" t="s">
        <v>155</v>
      </c>
      <c r="H2" s="3" t="s">
        <v>36</v>
      </c>
      <c r="I2" s="3" t="s">
        <v>37</v>
      </c>
      <c r="J2" s="3" t="s">
        <v>120</v>
      </c>
      <c r="K2" s="3" t="s">
        <v>121</v>
      </c>
      <c r="L2" s="3" t="s">
        <v>122</v>
      </c>
      <c r="M2" s="3" t="s">
        <v>123</v>
      </c>
      <c r="N2" s="3" t="s">
        <v>124</v>
      </c>
      <c r="O2" s="3" t="s">
        <v>125</v>
      </c>
      <c r="P2" s="3" t="s">
        <v>126</v>
      </c>
      <c r="Q2" s="3" t="s">
        <v>127</v>
      </c>
      <c r="R2" s="3" t="s">
        <v>128</v>
      </c>
      <c r="S2" s="3" t="s">
        <v>129</v>
      </c>
      <c r="T2" s="3" t="s">
        <v>43</v>
      </c>
      <c r="U2" s="3" t="s">
        <v>44</v>
      </c>
    </row>
    <row r="3" spans="1:21" ht="72" x14ac:dyDescent="0.3">
      <c r="A3" s="3" t="s">
        <v>156</v>
      </c>
      <c r="B3" s="3" t="s">
        <v>157</v>
      </c>
      <c r="C3" s="3" t="s">
        <v>158</v>
      </c>
      <c r="D3" s="3" t="s">
        <v>45</v>
      </c>
      <c r="E3" s="3" t="s">
        <v>47</v>
      </c>
      <c r="F3" s="3" t="s">
        <v>48</v>
      </c>
      <c r="G3" s="3" t="s">
        <v>50</v>
      </c>
      <c r="H3" s="3" t="s">
        <v>51</v>
      </c>
      <c r="I3" s="3" t="s">
        <v>52</v>
      </c>
      <c r="J3" s="3" t="s">
        <v>53</v>
      </c>
      <c r="K3" s="3" t="s">
        <v>130</v>
      </c>
      <c r="L3" s="3" t="s">
        <v>131</v>
      </c>
      <c r="M3" s="3" t="s">
        <v>132</v>
      </c>
      <c r="N3" s="3" t="s">
        <v>133</v>
      </c>
      <c r="O3" s="3" t="s">
        <v>134</v>
      </c>
      <c r="P3" s="3" t="s">
        <v>135</v>
      </c>
      <c r="Q3" s="3" t="s">
        <v>136</v>
      </c>
      <c r="R3" s="3" t="s">
        <v>137</v>
      </c>
      <c r="S3" s="3" t="s">
        <v>138</v>
      </c>
      <c r="T3" s="3" t="s">
        <v>58</v>
      </c>
      <c r="U3" s="3" t="s">
        <v>59</v>
      </c>
    </row>
    <row r="4" spans="1:21" ht="72" x14ac:dyDescent="0.3">
      <c r="A4" s="3" t="s">
        <v>159</v>
      </c>
      <c r="B4" s="3" t="s">
        <v>160</v>
      </c>
      <c r="C4" s="3" t="s">
        <v>161</v>
      </c>
      <c r="D4" s="3" t="s">
        <v>60</v>
      </c>
      <c r="E4" s="3" t="s">
        <v>61</v>
      </c>
      <c r="F4" s="3" t="s">
        <v>62</v>
      </c>
      <c r="G4" s="3" t="s">
        <v>109</v>
      </c>
      <c r="H4" s="3" t="s">
        <v>65</v>
      </c>
      <c r="I4" s="3" t="s">
        <v>66</v>
      </c>
      <c r="J4" s="3" t="s">
        <v>139</v>
      </c>
      <c r="K4" s="3" t="s">
        <v>140</v>
      </c>
      <c r="L4" s="3" t="s">
        <v>141</v>
      </c>
      <c r="M4" s="3" t="s">
        <v>142</v>
      </c>
      <c r="N4" s="3" t="s">
        <v>143</v>
      </c>
      <c r="O4" s="3" t="s">
        <v>144</v>
      </c>
      <c r="P4" s="3" t="s">
        <v>145</v>
      </c>
      <c r="Q4" s="3" t="s">
        <v>146</v>
      </c>
      <c r="R4" s="3" t="s">
        <v>147</v>
      </c>
      <c r="S4" s="3" t="s">
        <v>148</v>
      </c>
      <c r="T4" s="3" t="s">
        <v>71</v>
      </c>
      <c r="U4" s="3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2751-5CCB-40AC-91EE-BA92D664994F}">
  <dimension ref="A1:P4"/>
  <sheetViews>
    <sheetView tabSelected="1" workbookViewId="0">
      <selection activeCell="A2" sqref="A2"/>
    </sheetView>
  </sheetViews>
  <sheetFormatPr defaultRowHeight="14.4" x14ac:dyDescent="0.3"/>
  <cols>
    <col min="1" max="1" width="20.5546875" customWidth="1"/>
    <col min="2" max="2" width="19" customWidth="1"/>
    <col min="3" max="3" width="25.33203125" customWidth="1"/>
    <col min="4" max="4" width="10.33203125" customWidth="1"/>
    <col min="5" max="5" width="18.21875" customWidth="1"/>
    <col min="6" max="6" width="17.44140625" customWidth="1"/>
    <col min="7" max="7" width="17.33203125" customWidth="1"/>
    <col min="8" max="8" width="13.88671875" customWidth="1"/>
    <col min="9" max="9" width="16.5546875" customWidth="1"/>
    <col min="10" max="10" width="22.21875" customWidth="1"/>
    <col min="11" max="11" width="24.6640625" customWidth="1"/>
    <col min="12" max="12" width="15.6640625" customWidth="1"/>
    <col min="13" max="13" width="20.77734375" customWidth="1"/>
    <col min="14" max="15" width="14.109375" customWidth="1"/>
    <col min="16" max="16" width="13.88671875" customWidth="1"/>
  </cols>
  <sheetData>
    <row r="1" spans="1:16" ht="43.2" x14ac:dyDescent="0.3">
      <c r="A1" s="7" t="s">
        <v>73</v>
      </c>
      <c r="B1" s="7" t="s">
        <v>0</v>
      </c>
      <c r="C1" s="7" t="s">
        <v>75</v>
      </c>
      <c r="D1" s="7" t="s">
        <v>30</v>
      </c>
      <c r="E1" s="7" t="s">
        <v>4</v>
      </c>
      <c r="F1" s="7" t="s">
        <v>5</v>
      </c>
      <c r="G1" s="7" t="s">
        <v>151</v>
      </c>
      <c r="H1" s="7" t="s">
        <v>1</v>
      </c>
      <c r="I1" s="7" t="s">
        <v>74</v>
      </c>
      <c r="J1" s="7" t="s">
        <v>76</v>
      </c>
      <c r="K1" s="7" t="s">
        <v>162</v>
      </c>
      <c r="L1" s="7" t="s">
        <v>163</v>
      </c>
      <c r="M1" s="7" t="s">
        <v>164</v>
      </c>
      <c r="N1" s="7" t="s">
        <v>165</v>
      </c>
      <c r="O1" s="7" t="s">
        <v>28</v>
      </c>
      <c r="P1" s="7" t="s">
        <v>29</v>
      </c>
    </row>
    <row r="2" spans="1:16" ht="57.6" x14ac:dyDescent="0.3">
      <c r="A2" s="3" t="s">
        <v>166</v>
      </c>
      <c r="B2" s="3" t="s">
        <v>31</v>
      </c>
      <c r="C2" s="3" t="s">
        <v>80</v>
      </c>
      <c r="D2" s="3" t="s">
        <v>167</v>
      </c>
      <c r="E2" s="3" t="s">
        <v>33</v>
      </c>
      <c r="F2" s="3" t="s">
        <v>34</v>
      </c>
      <c r="G2" s="3" t="s">
        <v>168</v>
      </c>
      <c r="H2" s="3" t="s">
        <v>32</v>
      </c>
      <c r="I2" s="3" t="s">
        <v>169</v>
      </c>
      <c r="J2" s="3" t="s">
        <v>170</v>
      </c>
      <c r="K2" s="3" t="s">
        <v>171</v>
      </c>
      <c r="L2" s="3">
        <v>1200</v>
      </c>
      <c r="M2" s="3">
        <v>150</v>
      </c>
      <c r="N2" s="3">
        <v>1350</v>
      </c>
      <c r="O2" s="3" t="s">
        <v>43</v>
      </c>
      <c r="P2" s="3" t="s">
        <v>44</v>
      </c>
    </row>
    <row r="3" spans="1:16" ht="72" x14ac:dyDescent="0.3">
      <c r="A3" s="3" t="s">
        <v>172</v>
      </c>
      <c r="B3" s="3" t="s">
        <v>45</v>
      </c>
      <c r="C3" s="3" t="s">
        <v>173</v>
      </c>
      <c r="D3" s="3" t="s">
        <v>174</v>
      </c>
      <c r="E3" s="3" t="s">
        <v>47</v>
      </c>
      <c r="F3" s="3" t="s">
        <v>48</v>
      </c>
      <c r="G3" s="3" t="s">
        <v>175</v>
      </c>
      <c r="H3" s="3" t="s">
        <v>46</v>
      </c>
      <c r="I3" s="3" t="s">
        <v>94</v>
      </c>
      <c r="J3" s="3" t="s">
        <v>176</v>
      </c>
      <c r="K3" s="3" t="s">
        <v>177</v>
      </c>
      <c r="L3" s="3">
        <v>980</v>
      </c>
      <c r="M3" s="3">
        <v>120</v>
      </c>
      <c r="N3" s="3">
        <v>1100</v>
      </c>
      <c r="O3" s="3" t="s">
        <v>58</v>
      </c>
      <c r="P3" s="3" t="s">
        <v>59</v>
      </c>
    </row>
    <row r="4" spans="1:16" ht="86.4" x14ac:dyDescent="0.3">
      <c r="A4" s="3" t="s">
        <v>178</v>
      </c>
      <c r="B4" s="3" t="s">
        <v>60</v>
      </c>
      <c r="C4" s="3" t="s">
        <v>179</v>
      </c>
      <c r="D4" s="3" t="s">
        <v>180</v>
      </c>
      <c r="E4" s="3" t="s">
        <v>61</v>
      </c>
      <c r="F4" s="3" t="s">
        <v>62</v>
      </c>
      <c r="G4" s="3" t="s">
        <v>181</v>
      </c>
      <c r="H4" s="3" t="s">
        <v>32</v>
      </c>
      <c r="I4" s="3" t="s">
        <v>96</v>
      </c>
      <c r="J4" s="3" t="s">
        <v>182</v>
      </c>
      <c r="K4" s="3" t="s">
        <v>183</v>
      </c>
      <c r="L4" s="3">
        <v>760</v>
      </c>
      <c r="M4" s="3">
        <v>-40</v>
      </c>
      <c r="N4" s="3">
        <v>720</v>
      </c>
      <c r="O4" s="3" t="s">
        <v>71</v>
      </c>
      <c r="P4" s="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PolicyDetails</vt:lpstr>
      <vt:lpstr>Endorsements</vt:lpstr>
      <vt:lpstr>ClaimLetter</vt:lpstr>
      <vt:lpstr>aaa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Kathiresan  Paranthaman</cp:lastModifiedBy>
  <dcterms:created xsi:type="dcterms:W3CDTF">2026-04-28T08:07:25Z</dcterms:created>
  <dcterms:modified xsi:type="dcterms:W3CDTF">2026-04-29T06:57:04Z</dcterms:modified>
</cp:coreProperties>
</file>